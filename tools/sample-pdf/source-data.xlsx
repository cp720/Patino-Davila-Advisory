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ashboard" sheetId="1" state="visible" r:id="rId1"/>
    <sheet name="Monthly P&amp;L" sheetId="2" state="visible" r:id="rId2"/>
    <sheet name="13-Week Cash Flow" sheetId="3" state="visible" r:id="rId3"/>
    <sheet name="Commentary" sheetId="4" state="visible" r:id="rId4"/>
  </sheets>
  <definedNames>
    <definedName name="_xlnm.Print_Area" localSheetId="0">'Dashboard'!$A$1:$G$31</definedName>
    <definedName name="_xlnm.Print_Area" localSheetId="1">'Monthly P&amp;L'!$A$1:$G$22</definedName>
    <definedName name="_xlnm.Print_Area" localSheetId="2">'13-Week Cash Flow'!$A$1:$O$25</definedName>
    <definedName name="_xlnm.Print_Area" localSheetId="3">'Commentary'!$A$1:$B$19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$#,##0;&quot;($&quot;#,##0\);\-"/>
    <numFmt numFmtId="165" formatCode="0.0%"/>
    <numFmt numFmtId="166" formatCode="0&quot; days&quot;"/>
    <numFmt numFmtId="167" formatCode="0.0\x"/>
  </numFmts>
  <fonts count="4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5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6B7280"/>
      <sz val="8.5"/>
    </font>
    <font>
      <name val="Arial"/>
      <charset val="1"/>
      <family val="0"/>
      <b val="1"/>
      <color rgb="FF1F3A5F"/>
      <sz val="16"/>
    </font>
    <font>
      <name val="Arial"/>
      <charset val="1"/>
      <family val="0"/>
      <b val="1"/>
      <color rgb="FF2E6E7E"/>
      <sz val="16"/>
    </font>
    <font>
      <name val="Arial"/>
      <charset val="1"/>
      <family val="0"/>
      <b val="1"/>
      <color rgb="FF1E8449"/>
      <sz val="16"/>
    </font>
    <font>
      <name val="Arial"/>
      <charset val="1"/>
      <family val="0"/>
      <i val="1"/>
      <color rgb="FF6B7280"/>
      <sz val="8"/>
    </font>
    <font>
      <name val="Arial"/>
      <charset val="1"/>
      <family val="0"/>
      <b val="1"/>
      <color rgb="FFC0392B"/>
      <sz val="16"/>
    </font>
    <font>
      <name val="Arial"/>
      <charset val="1"/>
      <family val="0"/>
      <b val="1"/>
      <color rgb="FF1F3A5F"/>
      <sz val="10"/>
    </font>
    <font>
      <name val="Arial"/>
      <charset val="1"/>
      <family val="0"/>
      <color rgb="FF000000"/>
      <sz val="8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6B7280"/>
      <sz val="9"/>
    </font>
    <font>
      <name val="Arial"/>
      <charset val="1"/>
      <family val="0"/>
      <b val="1"/>
      <color rgb="FF6B7280"/>
      <sz val="9"/>
    </font>
    <font>
      <name val="Arial"/>
      <charset val="1"/>
      <family val="0"/>
      <b val="1"/>
      <color rgb="FFC0392B"/>
      <sz val="9"/>
    </font>
    <font>
      <name val="Arial"/>
      <charset val="1"/>
      <family val="0"/>
      <b val="1"/>
      <color rgb="FFB9770E"/>
      <sz val="9"/>
    </font>
    <font>
      <name val="Arial"/>
      <charset val="1"/>
      <family val="0"/>
      <i val="1"/>
      <color rgb="FF6B7280"/>
      <sz val="8.5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6B728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b val="1"/>
      <color rgb="FF6B728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6B7280"/>
      <sz val="10"/>
    </font>
    <font>
      <name val="Arial"/>
      <charset val="1"/>
      <family val="0"/>
      <color rgb="FF6B728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000FF"/>
      <sz val="9"/>
    </font>
    <font>
      <name val="Arial"/>
      <charset val="1"/>
      <family val="0"/>
      <color rgb="FF000000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1F3A5F"/>
      <sz val="9"/>
    </font>
    <font>
      <name val="Arial"/>
      <charset val="1"/>
      <family val="0"/>
      <b val="1"/>
      <color rgb="FF000000"/>
      <sz val="8"/>
    </font>
    <font>
      <name val="Arial"/>
      <charset val="1"/>
      <family val="0"/>
      <color rgb="FF6B7280"/>
      <sz val="8"/>
    </font>
    <font>
      <name val="Arial"/>
      <charset val="1"/>
      <family val="0"/>
      <b val="1"/>
      <color rgb="FF1F3A5F"/>
      <sz val="11"/>
    </font>
    <font>
      <name val="Arial"/>
      <charset val="1"/>
      <family val="0"/>
      <b val="1"/>
      <color rgb="FFB9770E"/>
      <sz val="11"/>
    </font>
    <font>
      <name val="Arial"/>
      <charset val="1"/>
      <family val="0"/>
      <b val="1"/>
      <color rgb="FF1E8449"/>
      <sz val="11"/>
    </font>
  </fonts>
  <fills count="6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2E6E7E"/>
        <bgColor rgb="FF1E8449"/>
      </patternFill>
    </fill>
    <fill>
      <patternFill patternType="solid">
        <fgColor rgb="FFF5F8FA"/>
        <bgColor rgb="FFFFFFFF"/>
      </patternFill>
    </fill>
    <fill>
      <patternFill patternType="solid">
        <fgColor rgb="FFEAF0F4"/>
        <bgColor rgb="FFF5F8FA"/>
      </patternFill>
    </fill>
  </fills>
  <borders count="6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/>
      <bottom style="thin">
        <color rgb="FFB0B7BE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left" vertical="center" indent="1"/>
    </xf>
    <xf numFmtId="164" fontId="7" fillId="4" borderId="1" applyAlignment="1" pivotButton="0" quotePrefix="0" xfId="0">
      <alignment horizontal="left" vertical="center" indent="1"/>
    </xf>
    <xf numFmtId="165" fontId="8" fillId="4" borderId="1" applyAlignment="1" pivotButton="0" quotePrefix="0" xfId="0">
      <alignment horizontal="left" vertical="center" indent="1"/>
    </xf>
    <xf numFmtId="164" fontId="9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left" vertical="center" indent="1"/>
    </xf>
    <xf numFmtId="164" fontId="11" fillId="4" borderId="1" applyAlignment="1" pivotButton="0" quotePrefix="0" xfId="0">
      <alignment horizontal="left" vertical="center" indent="1"/>
    </xf>
    <xf numFmtId="0" fontId="12" fillId="0" borderId="2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bottom"/>
    </xf>
    <xf numFmtId="0" fontId="14" fillId="0" borderId="2" applyAlignment="1" pivotButton="0" quotePrefix="0" xfId="0">
      <alignment horizontal="left" vertical="center"/>
    </xf>
    <xf numFmtId="164" fontId="14" fillId="0" borderId="2" applyAlignment="1" pivotButton="0" quotePrefix="0" xfId="0">
      <alignment horizontal="right" vertical="center"/>
    </xf>
    <xf numFmtId="164" fontId="0" fillId="0" borderId="0" applyAlignment="1" pivotButton="0" quotePrefix="0" xfId="0">
      <alignment horizontal="general" vertical="bottom"/>
    </xf>
    <xf numFmtId="0" fontId="15" fillId="0" borderId="2" applyAlignment="1" pivotButton="0" quotePrefix="0" xfId="0">
      <alignment horizontal="left" vertical="center"/>
    </xf>
    <xf numFmtId="164" fontId="16" fillId="0" borderId="2" applyAlignment="1" pivotButton="0" quotePrefix="0" xfId="0">
      <alignment horizontal="right" vertical="center"/>
    </xf>
    <xf numFmtId="164" fontId="17" fillId="0" borderId="2" applyAlignment="1" pivotButton="0" quotePrefix="0" xfId="0">
      <alignment horizontal="right" vertical="center"/>
    </xf>
    <xf numFmtId="0" fontId="18" fillId="0" borderId="2" applyAlignment="1" pivotButton="0" quotePrefix="0" xfId="0">
      <alignment horizontal="left" vertical="center"/>
    </xf>
    <xf numFmtId="166" fontId="18" fillId="0" borderId="2" applyAlignment="1" pivotButton="0" quotePrefix="0" xfId="0">
      <alignment horizontal="right" vertical="center"/>
    </xf>
    <xf numFmtId="167" fontId="14" fillId="0" borderId="2" applyAlignment="1" pivotButton="0" quotePrefix="0" xfId="0">
      <alignment horizontal="right" vertical="center"/>
    </xf>
    <xf numFmtId="0" fontId="19" fillId="0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0" fontId="24" fillId="3" borderId="1" applyAlignment="1" pivotButton="0" quotePrefix="0" xfId="0">
      <alignment horizontal="left" vertical="center" wrapText="1"/>
    </xf>
    <xf numFmtId="0" fontId="24" fillId="3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left" vertical="center"/>
    </xf>
    <xf numFmtId="164" fontId="26" fillId="0" borderId="1" applyAlignment="1" pivotButton="0" quotePrefix="0" xfId="0">
      <alignment horizontal="right" vertical="center"/>
    </xf>
    <xf numFmtId="0" fontId="27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general" vertical="bottom"/>
    </xf>
    <xf numFmtId="0" fontId="28" fillId="0" borderId="1" applyAlignment="1" pivotButton="0" quotePrefix="0" xfId="0">
      <alignment horizontal="left" vertical="center" indent="1"/>
    </xf>
    <xf numFmtId="164" fontId="29" fillId="0" borderId="1" applyAlignment="1" pivotButton="0" quotePrefix="0" xfId="0">
      <alignment horizontal="right" vertical="center"/>
    </xf>
    <xf numFmtId="0" fontId="25" fillId="0" borderId="1" applyAlignment="1" pivotButton="0" quotePrefix="0" xfId="0">
      <alignment horizontal="left" vertical="center" indent="1"/>
    </xf>
    <xf numFmtId="164" fontId="25" fillId="0" borderId="1" applyAlignment="1" pivotButton="0" quotePrefix="0" xfId="0">
      <alignment horizontal="right" vertical="center"/>
    </xf>
    <xf numFmtId="164" fontId="25" fillId="5" borderId="1" applyAlignment="1" pivotButton="0" quotePrefix="0" xfId="0">
      <alignment horizontal="right" vertical="center"/>
    </xf>
    <xf numFmtId="0" fontId="30" fillId="0" borderId="1" applyAlignment="1" pivotButton="0" quotePrefix="0" xfId="0">
      <alignment horizontal="left" vertical="center" indent="1"/>
    </xf>
    <xf numFmtId="165" fontId="31" fillId="0" borderId="1" applyAlignment="1" pivotButton="0" quotePrefix="0" xfId="0">
      <alignment horizontal="right" vertical="center"/>
    </xf>
    <xf numFmtId="164" fontId="12" fillId="5" borderId="1" applyAlignment="1" pivotButton="0" quotePrefix="0" xfId="0">
      <alignment horizontal="right" vertical="center"/>
    </xf>
    <xf numFmtId="0" fontId="32" fillId="3" borderId="1" applyAlignment="1" pivotButton="0" quotePrefix="0" xfId="0">
      <alignment horizontal="left" vertical="center" wrapText="1"/>
    </xf>
    <xf numFmtId="0" fontId="32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indent="1"/>
    </xf>
    <xf numFmtId="164" fontId="33" fillId="0" borderId="1" applyAlignment="1" pivotButton="0" quotePrefix="0" xfId="0">
      <alignment horizontal="right" vertical="center"/>
    </xf>
    <xf numFmtId="164" fontId="34" fillId="0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left" vertical="center" indent="1"/>
    </xf>
    <xf numFmtId="0" fontId="34" fillId="0" borderId="1" applyAlignment="1" pivotButton="0" quotePrefix="0" xfId="0">
      <alignment horizontal="left" vertical="center" indent="1"/>
    </xf>
    <xf numFmtId="164" fontId="35" fillId="0" borderId="1" applyAlignment="1" pivotButton="0" quotePrefix="0" xfId="0">
      <alignment horizontal="right" vertical="center"/>
    </xf>
    <xf numFmtId="164" fontId="14" fillId="0" borderId="1" applyAlignment="1" pivotButton="0" quotePrefix="0" xfId="0">
      <alignment horizontal="right" vertical="center"/>
    </xf>
    <xf numFmtId="164" fontId="36" fillId="5" borderId="1" applyAlignment="1" pivotButton="0" quotePrefix="0" xfId="0">
      <alignment horizontal="right" vertical="center"/>
    </xf>
    <xf numFmtId="0" fontId="37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top" wrapText="1"/>
    </xf>
    <xf numFmtId="0" fontId="40" fillId="0" borderId="0" applyAlignment="1" pivotButton="0" quotePrefix="0" xfId="0">
      <alignment horizontal="left" vertical="center" wrapText="1"/>
    </xf>
    <xf numFmtId="0" fontId="41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left" vertical="center" indent="1"/>
    </xf>
    <xf numFmtId="0" fontId="0" fillId="0" borderId="5" pivotButton="0" quotePrefix="0" xfId="0"/>
    <xf numFmtId="164" fontId="7" fillId="4" borderId="1" applyAlignment="1" pivotButton="0" quotePrefix="0" xfId="0">
      <alignment horizontal="left" vertical="center" indent="1"/>
    </xf>
    <xf numFmtId="165" fontId="8" fillId="4" borderId="1" applyAlignment="1" pivotButton="0" quotePrefix="0" xfId="0">
      <alignment horizontal="left" vertical="center" indent="1"/>
    </xf>
    <xf numFmtId="164" fontId="9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left" vertical="center" indent="1"/>
    </xf>
    <xf numFmtId="164" fontId="11" fillId="4" borderId="1" applyAlignment="1" pivotButton="0" quotePrefix="0" xfId="0">
      <alignment horizontal="left" vertical="center" indent="1"/>
    </xf>
    <xf numFmtId="0" fontId="12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13" fillId="0" borderId="0" applyAlignment="1" pivotButton="0" quotePrefix="0" xfId="0">
      <alignment horizontal="general" vertical="bottom"/>
    </xf>
    <xf numFmtId="0" fontId="14" fillId="0" borderId="2" applyAlignment="1" pivotButton="0" quotePrefix="0" xfId="0">
      <alignment horizontal="left" vertical="center"/>
    </xf>
    <xf numFmtId="164" fontId="14" fillId="0" borderId="2" applyAlignment="1" pivotButton="0" quotePrefix="0" xfId="0">
      <alignment horizontal="right" vertical="center"/>
    </xf>
    <xf numFmtId="164" fontId="0" fillId="0" borderId="0" applyAlignment="1" pivotButton="0" quotePrefix="0" xfId="0">
      <alignment horizontal="general" vertical="bottom"/>
    </xf>
    <xf numFmtId="0" fontId="15" fillId="0" borderId="2" applyAlignment="1" pivotButton="0" quotePrefix="0" xfId="0">
      <alignment horizontal="left" vertical="center"/>
    </xf>
    <xf numFmtId="164" fontId="16" fillId="0" borderId="2" applyAlignment="1" pivotButton="0" quotePrefix="0" xfId="0">
      <alignment horizontal="right" vertical="center"/>
    </xf>
    <xf numFmtId="164" fontId="17" fillId="0" borderId="2" applyAlignment="1" pivotButton="0" quotePrefix="0" xfId="0">
      <alignment horizontal="right" vertical="center"/>
    </xf>
    <xf numFmtId="0" fontId="18" fillId="0" borderId="2" applyAlignment="1" pivotButton="0" quotePrefix="0" xfId="0">
      <alignment horizontal="left" vertical="center"/>
    </xf>
    <xf numFmtId="166" fontId="18" fillId="0" borderId="2" applyAlignment="1" pivotButton="0" quotePrefix="0" xfId="0">
      <alignment horizontal="right" vertical="center"/>
    </xf>
    <xf numFmtId="167" fontId="14" fillId="0" borderId="2" applyAlignment="1" pivotButton="0" quotePrefix="0" xfId="0">
      <alignment horizontal="right" vertical="center"/>
    </xf>
    <xf numFmtId="0" fontId="19" fillId="0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0" fontId="24" fillId="3" borderId="1" applyAlignment="1" pivotButton="0" quotePrefix="0" xfId="0">
      <alignment horizontal="left" vertical="center" wrapText="1"/>
    </xf>
    <xf numFmtId="0" fontId="24" fillId="3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left" vertical="center"/>
    </xf>
    <xf numFmtId="164" fontId="26" fillId="0" borderId="1" applyAlignment="1" pivotButton="0" quotePrefix="0" xfId="0">
      <alignment horizontal="right" vertical="center"/>
    </xf>
    <xf numFmtId="0" fontId="27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general" vertical="bottom"/>
    </xf>
    <xf numFmtId="0" fontId="28" fillId="0" borderId="1" applyAlignment="1" pivotButton="0" quotePrefix="0" xfId="0">
      <alignment horizontal="left" vertical="center" indent="1"/>
    </xf>
    <xf numFmtId="164" fontId="29" fillId="0" borderId="1" applyAlignment="1" pivotButton="0" quotePrefix="0" xfId="0">
      <alignment horizontal="right" vertical="center"/>
    </xf>
    <xf numFmtId="0" fontId="25" fillId="0" borderId="1" applyAlignment="1" pivotButton="0" quotePrefix="0" xfId="0">
      <alignment horizontal="left" vertical="center" indent="1"/>
    </xf>
    <xf numFmtId="164" fontId="25" fillId="0" borderId="1" applyAlignment="1" pivotButton="0" quotePrefix="0" xfId="0">
      <alignment horizontal="right" vertical="center"/>
    </xf>
    <xf numFmtId="164" fontId="25" fillId="5" borderId="1" applyAlignment="1" pivotButton="0" quotePrefix="0" xfId="0">
      <alignment horizontal="right" vertical="center"/>
    </xf>
    <xf numFmtId="0" fontId="30" fillId="0" borderId="1" applyAlignment="1" pivotButton="0" quotePrefix="0" xfId="0">
      <alignment horizontal="left" vertical="center" indent="1"/>
    </xf>
    <xf numFmtId="165" fontId="31" fillId="0" borderId="1" applyAlignment="1" pivotButton="0" quotePrefix="0" xfId="0">
      <alignment horizontal="right" vertical="center"/>
    </xf>
    <xf numFmtId="164" fontId="12" fillId="5" borderId="1" applyAlignment="1" pivotButton="0" quotePrefix="0" xfId="0">
      <alignment horizontal="right" vertical="center"/>
    </xf>
    <xf numFmtId="0" fontId="32" fillId="3" borderId="1" applyAlignment="1" pivotButton="0" quotePrefix="0" xfId="0">
      <alignment horizontal="left" vertical="center" wrapText="1"/>
    </xf>
    <xf numFmtId="0" fontId="32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indent="1"/>
    </xf>
    <xf numFmtId="164" fontId="33" fillId="0" borderId="1" applyAlignment="1" pivotButton="0" quotePrefix="0" xfId="0">
      <alignment horizontal="right" vertical="center"/>
    </xf>
    <xf numFmtId="164" fontId="34" fillId="0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left" vertical="center" indent="1"/>
    </xf>
    <xf numFmtId="0" fontId="34" fillId="0" borderId="1" applyAlignment="1" pivotButton="0" quotePrefix="0" xfId="0">
      <alignment horizontal="left" vertical="center" indent="1"/>
    </xf>
    <xf numFmtId="164" fontId="35" fillId="0" borderId="1" applyAlignment="1" pivotButton="0" quotePrefix="0" xfId="0">
      <alignment horizontal="right" vertical="center"/>
    </xf>
    <xf numFmtId="164" fontId="14" fillId="0" borderId="1" applyAlignment="1" pivotButton="0" quotePrefix="0" xfId="0">
      <alignment horizontal="right" vertical="center"/>
    </xf>
    <xf numFmtId="164" fontId="36" fillId="5" borderId="1" applyAlignment="1" pivotButton="0" quotePrefix="0" xfId="0">
      <alignment horizontal="right" vertical="center"/>
    </xf>
    <xf numFmtId="0" fontId="37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top" wrapText="1"/>
    </xf>
    <xf numFmtId="0" fontId="40" fillId="0" borderId="0" applyAlignment="1" pivotButton="0" quotePrefix="0" xfId="0">
      <alignment horizontal="left" vertical="center" wrapText="1"/>
    </xf>
    <xf numFmtId="0" fontId="41" fillId="0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2E6E7E"/>
      <rgbColor rgb="FFB0B7BE"/>
      <rgbColor rgb="FF878787"/>
      <rgbColor rgb="FF9999FF"/>
      <rgbColor rgb="FF993366"/>
      <rgbColor rgb="FFF5F8FA"/>
      <rgbColor rgb="FFEAF0F4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F3A5F"/>
      <rgbColor rgb="FF1E8449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Revenue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spPr>
            <a:solidFill>
              <a:srgbClr val="2e6e7e"/>
            </a:solidFill>
            <a:ln w="0">
              <a:noFill/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Dashboard!$J$13:$O$13</f>
              <strCache>
                <ptCount val="6"/>
                <pt idx="0">
                  <v>Feb-26</v>
                </pt>
                <pt idx="1">
                  <v>Mar-26</v>
                </pt>
                <pt idx="2">
                  <v>Apr-26</v>
                </pt>
                <pt idx="3">
                  <v>May-26</v>
                </pt>
                <pt idx="4">
                  <v>Jun-26</v>
                </pt>
                <pt idx="5">
                  <v>Jul-26</v>
                </pt>
              </strCache>
            </strRef>
          </cat>
          <val>
            <numRef>
              <f>Dashboard!$J$14:$O$14</f>
              <numCache>
                <formatCode>\$#,##0;"($"#,##0\);\-</formatCode>
                <ptCount val="6"/>
                <pt idx="0">
                  <v>172000</v>
                </pt>
                <pt idx="1">
                  <v>195000</v>
                </pt>
                <pt idx="2">
                  <v>208000</v>
                </pt>
                <pt idx="3">
                  <v>231000</v>
                </pt>
                <pt idx="4">
                  <v>199000</v>
                </pt>
                <pt idx="5">
                  <v>218400</v>
                </pt>
              </numCache>
            </numRef>
          </val>
        </ser>
        <gapWidth val="150"/>
        <overlap val="0"/>
        <axId val="63520072"/>
        <axId val="64107671"/>
      </barChart>
      <catAx>
        <axId val="6352007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64107671"/>
        <crosses val="autoZero"/>
        <auto val="1"/>
        <lblAlgn val="ctr"/>
        <lblOffset val="100"/>
        <noMultiLvlLbl val="0"/>
      </catAx>
      <valAx>
        <axId val="64107671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63520072"/>
        <crosses val="autoZero"/>
        <crossBetween val="between"/>
      </valAx>
    </plotArea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Projected Ending Cash vs. $25k Minimum</a:t>
            </a:r>
          </a:p>
        </rich>
      </tx>
      <overlay val="0"/>
      <spPr>
        <a:noFill/>
        <a:ln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'13-Week Cash Flow'!A24</f>
              <strCache>
                <ptCount val="1"/>
                <pt idx="0">
                  <v>Ending Cash</v>
                </pt>
              </strCache>
            </strRef>
          </tx>
          <spPr>
            <a:solidFill>
              <a:srgbClr val="1f3a5f"/>
            </a:solidFill>
            <a:ln w="28080">
              <a:solidFill>
                <a:srgbClr val="1f3a5f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'13-Week Cash Flow'!$B$23:$N$23</f>
              <strCache>
                <ptCount val="13"/>
                <pt idx="0">
                  <v>Aug 25</v>
                </pt>
                <pt idx="1">
                  <v>Sep 1</v>
                </pt>
                <pt idx="2">
                  <v>Sep 8</v>
                </pt>
                <pt idx="3">
                  <v>Sep 15</v>
                </pt>
                <pt idx="4">
                  <v>Sep 22</v>
                </pt>
                <pt idx="5">
                  <v>Sep 29</v>
                </pt>
                <pt idx="6">
                  <v>Oct 6</v>
                </pt>
                <pt idx="7">
                  <v>Oct 13</v>
                </pt>
                <pt idx="8">
                  <v>Oct 20</v>
                </pt>
                <pt idx="9">
                  <v>Oct 27</v>
                </pt>
                <pt idx="10">
                  <v>Nov 3</v>
                </pt>
                <pt idx="11">
                  <v>Nov 10</v>
                </pt>
                <pt idx="12">
                  <v>Nov 17</v>
                </pt>
              </strCache>
            </strRef>
          </cat>
          <val>
            <numRef>
              <f>'13-Week Cash Flow'!$B$24:$N$24</f>
              <numCache>
                <formatCode>\$#,##0;"($"#,##0\);\-</formatCode>
                <ptCount val="13"/>
                <pt idx="0">
                  <v>131300</v>
                </pt>
                <pt idx="1">
                  <v>115800</v>
                </pt>
                <pt idx="2">
                  <v>44300</v>
                </pt>
                <pt idx="3">
                  <v>20800</v>
                </pt>
                <pt idx="4">
                  <v>2300</v>
                </pt>
                <pt idx="5">
                  <v>13600</v>
                </pt>
                <pt idx="6">
                  <v>1100</v>
                </pt>
                <pt idx="7">
                  <v>81600</v>
                </pt>
                <pt idx="8">
                  <v>65100</v>
                </pt>
                <pt idx="9">
                  <v>66400</v>
                </pt>
                <pt idx="10">
                  <v>52900</v>
                </pt>
                <pt idx="11">
                  <v>59400</v>
                </pt>
                <pt idx="12">
                  <v>46900</v>
                </pt>
              </numCache>
            </numRef>
          </val>
          <smooth val="1"/>
        </ser>
        <ser>
          <idx val="1"/>
          <order val="1"/>
          <tx>
            <strRef>
              <f>'13-Week Cash Flow'!A25</f>
              <strCache>
                <ptCount val="1"/>
                <pt idx="0">
                  <v>Min Cash Target</v>
                </pt>
              </strCache>
            </strRef>
          </tx>
          <spPr>
            <a:solidFill>
              <a:srgbClr val="c0392b"/>
            </a:solidFill>
            <a:ln w="28440">
              <a:solidFill>
                <a:srgbClr val="c0392b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'13-Week Cash Flow'!$B$23:$N$23</f>
              <strCache>
                <ptCount val="13"/>
                <pt idx="0">
                  <v>Aug 25</v>
                </pt>
                <pt idx="1">
                  <v>Sep 1</v>
                </pt>
                <pt idx="2">
                  <v>Sep 8</v>
                </pt>
                <pt idx="3">
                  <v>Sep 15</v>
                </pt>
                <pt idx="4">
                  <v>Sep 22</v>
                </pt>
                <pt idx="5">
                  <v>Sep 29</v>
                </pt>
                <pt idx="6">
                  <v>Oct 6</v>
                </pt>
                <pt idx="7">
                  <v>Oct 13</v>
                </pt>
                <pt idx="8">
                  <v>Oct 20</v>
                </pt>
                <pt idx="9">
                  <v>Oct 27</v>
                </pt>
                <pt idx="10">
                  <v>Nov 3</v>
                </pt>
                <pt idx="11">
                  <v>Nov 10</v>
                </pt>
                <pt idx="12">
                  <v>Nov 17</v>
                </pt>
              </strCache>
            </strRef>
          </cat>
          <val>
            <numRef>
              <f>'13-Week Cash Flow'!$B$25:$N$25</f>
              <numCache>
                <formatCode>\$#,##0;"($"#,##0\);\-</formatCode>
                <ptCount val="13"/>
                <pt idx="0">
                  <v>25000</v>
                </pt>
                <pt idx="1">
                  <v>25000</v>
                </pt>
                <pt idx="2">
                  <v>25000</v>
                </pt>
                <pt idx="3">
                  <v>25000</v>
                </pt>
                <pt idx="4">
                  <v>25000</v>
                </pt>
                <pt idx="5">
                  <v>25000</v>
                </pt>
                <pt idx="6">
                  <v>25000</v>
                </pt>
                <pt idx="7">
                  <v>25000</v>
                </pt>
                <pt idx="8">
                  <v>25000</v>
                </pt>
                <pt idx="9">
                  <v>25000</v>
                </pt>
                <pt idx="10">
                  <v>25000</v>
                </pt>
                <pt idx="11">
                  <v>25000</v>
                </pt>
                <pt idx="12">
                  <v>25000</v>
                </pt>
              </numCache>
            </numRef>
          </val>
          <smooth val="1"/>
        </ser>
        <hiLowLines>
          <spPr>
            <a:ln w="0">
              <a:noFill/>
              <a:prstDash val="solid"/>
            </a:ln>
          </spPr>
        </hiLowLines>
        <marker val="0"/>
        <axId val="1125212"/>
        <axId val="5488476"/>
      </lineChart>
      <catAx>
        <axId val="11252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5488476"/>
        <crosses val="autoZero"/>
        <auto val="1"/>
        <lblAlgn val="ctr"/>
        <lblOffset val="100"/>
        <noMultiLvlLbl val="0"/>
      </catAx>
      <valAx>
        <axId val="5488476"/>
        <scaling>
          <orientation val="minMax"/>
        </scaling>
        <delete val="0"/>
        <axPos val="l"/>
        <numFmt formatCode="\$#,##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125212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13</row>
      <rowOff>0</rowOff>
    </from>
    <to>
      <col>3</col>
      <colOff>915120</colOff>
      <row>24</row>
      <rowOff>2520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27</row>
      <rowOff>0</rowOff>
    </from>
    <to>
      <col>9</col>
      <colOff>10080</colOff>
      <row>40</row>
      <rowOff>43200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1:O3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56" min="1" max="1"/>
    <col width="19" customWidth="1" style="56" min="2" max="2"/>
    <col width="15" customWidth="1" style="56" min="3" max="7"/>
    <col width="2" customWidth="1" style="56" min="8" max="8"/>
    <col width="9" customWidth="1" style="56" min="10" max="15"/>
  </cols>
  <sheetData>
    <row r="1" ht="27.75" customHeight="1" s="57">
      <c r="B1" s="58" t="inlineStr">
        <is>
          <t>SUMMIT RIDGE CONSTRUCTION LLC</t>
        </is>
      </c>
    </row>
    <row r="2" ht="15.75" customHeight="1" s="57">
      <c r="B2" s="59" t="inlineStr">
        <is>
          <t>Monthly Financial Brief  —  Reporting Period: July 2026  —  Prepared by Patino Davila Advisory</t>
        </is>
      </c>
    </row>
    <row r="4" ht="15" customHeight="1" s="57">
      <c r="B4" s="60" t="inlineStr">
        <is>
          <t>REVENUE (JUL)</t>
        </is>
      </c>
      <c r="C4" s="61" t="n"/>
      <c r="D4" s="60" t="inlineStr">
        <is>
          <t>GROSS MARGIN</t>
        </is>
      </c>
      <c r="E4" s="61" t="n"/>
      <c r="F4" s="60" t="inlineStr">
        <is>
          <t>NET INCOME (JUL)</t>
        </is>
      </c>
      <c r="G4" s="61" t="n"/>
    </row>
    <row r="5" ht="25.5" customHeight="1" s="57">
      <c r="B5" s="62">
        <f>'Monthly P&amp;L'!G5</f>
        <v/>
      </c>
      <c r="C5" s="61" t="n"/>
      <c r="D5" s="63">
        <f>'Monthly P&amp;L'!G12</f>
        <v/>
      </c>
      <c r="E5" s="61" t="n"/>
      <c r="F5" s="64">
        <f>'Monthly P&amp;L'!G21</f>
        <v/>
      </c>
      <c r="G5" s="61" t="n"/>
    </row>
    <row r="6" ht="13.5" customHeight="1" s="57">
      <c r="B6" s="65" t="inlineStr">
        <is>
          <t>+9.7% vs Jun</t>
        </is>
      </c>
      <c r="C6" s="61" t="n"/>
      <c r="D6" s="65" t="inlineStr">
        <is>
          <t>6-mo avg 27.7%</t>
        </is>
      </c>
      <c r="E6" s="61" t="n"/>
      <c r="F6" s="65" t="inlineStr">
        <is>
          <t>11.7% net margin</t>
        </is>
      </c>
      <c r="G6" s="61" t="n"/>
    </row>
    <row r="8" ht="15" customHeight="1" s="57">
      <c r="B8" s="60" t="inlineStr">
        <is>
          <t>CASH ON HAND</t>
        </is>
      </c>
      <c r="C8" s="61" t="n"/>
      <c r="D8" s="60" t="inlineStr">
        <is>
          <t>13-WEEK LOW CASH</t>
        </is>
      </c>
      <c r="E8" s="61" t="n"/>
      <c r="F8" s="60" t="inlineStr">
        <is>
          <t>SIGNED BACKLOG</t>
        </is>
      </c>
      <c r="G8" s="61" t="n"/>
    </row>
    <row r="9" ht="25.5" customHeight="1" s="57">
      <c r="B9" s="62">
        <f>'13-Week Cash Flow'!B5</f>
        <v/>
      </c>
      <c r="C9" s="61" t="n"/>
      <c r="D9" s="66">
        <f>MIN('13-Week Cash Flow'!B19:N19)</f>
        <v/>
      </c>
      <c r="E9" s="61" t="n"/>
      <c r="F9" s="62" t="n">
        <v>1815000</v>
      </c>
      <c r="G9" s="61" t="n"/>
    </row>
    <row r="10" ht="13.5" customHeight="1" s="57">
      <c r="B10" s="65" t="inlineStr">
        <is>
          <t>as of Jul 31</t>
        </is>
      </c>
      <c r="C10" s="61" t="n"/>
      <c r="D10" s="65" t="inlineStr">
        <is>
          <t>week of Oct 6 — action needed</t>
        </is>
      </c>
      <c r="E10" s="61" t="n"/>
      <c r="F10" s="65" t="inlineStr">
        <is>
          <t>~8.3 months coverage</t>
        </is>
      </c>
      <c r="G10" s="61" t="n"/>
    </row>
    <row r="12" ht="15" customHeight="1" s="57">
      <c r="B12" s="67" t="inlineStr">
        <is>
          <t>REVENUE — TRAILING 6 MONTHS</t>
        </is>
      </c>
      <c r="C12" s="68" t="n"/>
      <c r="D12" s="68" t="n"/>
      <c r="E12" s="67" t="inlineStr">
        <is>
          <t>WORKING CAPITAL SNAPSHOT</t>
        </is>
      </c>
      <c r="F12" s="68" t="n"/>
      <c r="G12" s="68" t="n"/>
    </row>
    <row r="13" ht="15" customHeight="1" s="57">
      <c r="J13" s="69" t="inlineStr">
        <is>
          <t>Feb-26</t>
        </is>
      </c>
      <c r="K13" s="69" t="inlineStr">
        <is>
          <t>Mar-26</t>
        </is>
      </c>
      <c r="L13" s="69" t="inlineStr">
        <is>
          <t>Apr-26</t>
        </is>
      </c>
      <c r="M13" s="69" t="inlineStr">
        <is>
          <t>May-26</t>
        </is>
      </c>
      <c r="N13" s="69" t="inlineStr">
        <is>
          <t>Jun-26</t>
        </is>
      </c>
      <c r="O13" s="69" t="inlineStr">
        <is>
          <t>Jul-26</t>
        </is>
      </c>
    </row>
    <row r="14" ht="16.5" customHeight="1" s="57">
      <c r="E14" s="70" t="inlineStr">
        <is>
          <t>Accounts Receivable</t>
        </is>
      </c>
      <c r="F14" s="68" t="n"/>
      <c r="G14" s="71" t="n">
        <v>312000</v>
      </c>
      <c r="J14" s="72">
        <f>'Monthly P&amp;L'!B5</f>
        <v/>
      </c>
      <c r="K14" s="72">
        <f>'Monthly P&amp;L'!C5</f>
        <v/>
      </c>
      <c r="L14" s="72">
        <f>'Monthly P&amp;L'!D5</f>
        <v/>
      </c>
      <c r="M14" s="72">
        <f>'Monthly P&amp;L'!E5</f>
        <v/>
      </c>
      <c r="N14" s="72">
        <f>'Monthly P&amp;L'!F5</f>
        <v/>
      </c>
      <c r="O14" s="72">
        <f>'Monthly P&amp;L'!G5</f>
        <v/>
      </c>
    </row>
    <row r="15" ht="16.5" customHeight="1" s="57">
      <c r="E15" s="73" t="inlineStr">
        <is>
          <t xml:space="preserve">   Current (0-30 days)</t>
        </is>
      </c>
      <c r="F15" s="68" t="n"/>
      <c r="G15" s="74" t="n">
        <v>168000</v>
      </c>
    </row>
    <row r="16" ht="16.5" customHeight="1" s="57">
      <c r="E16" s="73" t="inlineStr">
        <is>
          <t xml:space="preserve">   31-60 days</t>
        </is>
      </c>
      <c r="F16" s="68" t="n"/>
      <c r="G16" s="74" t="n">
        <v>96000</v>
      </c>
    </row>
    <row r="17" ht="16.5" customHeight="1" s="57">
      <c r="E17" s="73" t="inlineStr">
        <is>
          <t xml:space="preserve">   61+ days</t>
        </is>
      </c>
      <c r="F17" s="68" t="n"/>
      <c r="G17" s="75" t="n">
        <v>48000</v>
      </c>
    </row>
    <row r="18" ht="16.5" customHeight="1" s="57">
      <c r="E18" s="70" t="inlineStr">
        <is>
          <t>Accounts Payable</t>
        </is>
      </c>
      <c r="F18" s="68" t="n"/>
      <c r="G18" s="71" t="n">
        <v>148000</v>
      </c>
    </row>
    <row r="19" ht="16.5" customHeight="1" s="57">
      <c r="E19" s="76" t="inlineStr">
        <is>
          <t>Days Sales Outstanding</t>
        </is>
      </c>
      <c r="F19" s="68" t="n"/>
      <c r="G19" s="77" t="n">
        <v>48</v>
      </c>
    </row>
    <row r="20" ht="16.5" customHeight="1" s="57">
      <c r="E20" s="70" t="inlineStr">
        <is>
          <t>Current Ratio</t>
        </is>
      </c>
      <c r="F20" s="68" t="n"/>
      <c r="G20" s="78" t="n">
        <v>1.8</v>
      </c>
    </row>
    <row r="31" ht="15" customHeight="1" s="57">
      <c r="B31" s="79" t="inlineStr">
        <is>
          <t>See the '13-Week Cash Flow' and 'Commentary' tabs for the full forward view.</t>
        </is>
      </c>
    </row>
  </sheetData>
  <mergeCells count="30">
    <mergeCell ref="B2:G2"/>
    <mergeCell ref="F4:G4"/>
    <mergeCell ref="D10:E10"/>
    <mergeCell ref="F10:G10"/>
    <mergeCell ref="B1:G1"/>
    <mergeCell ref="F6:G6"/>
    <mergeCell ref="E14:F14"/>
    <mergeCell ref="E17:F17"/>
    <mergeCell ref="D6:E6"/>
    <mergeCell ref="E20:F20"/>
    <mergeCell ref="F5:G5"/>
    <mergeCell ref="E19:F19"/>
    <mergeCell ref="B8:C8"/>
    <mergeCell ref="F8:G8"/>
    <mergeCell ref="E15:F15"/>
    <mergeCell ref="B10:C10"/>
    <mergeCell ref="E12:G12"/>
    <mergeCell ref="D4:E4"/>
    <mergeCell ref="B9:C9"/>
    <mergeCell ref="D9:E9"/>
    <mergeCell ref="F9:G9"/>
    <mergeCell ref="D8:E8"/>
    <mergeCell ref="B6:C6"/>
    <mergeCell ref="E16:F16"/>
    <mergeCell ref="B5:C5"/>
    <mergeCell ref="B31:G31"/>
    <mergeCell ref="D5:E5"/>
    <mergeCell ref="B12:D12"/>
    <mergeCell ref="E18:F18"/>
    <mergeCell ref="B4:C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H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56" min="1" max="1"/>
    <col width="12" customWidth="1" style="56" min="2" max="7"/>
  </cols>
  <sheetData>
    <row r="1" ht="25.5" customHeight="1" s="57">
      <c r="A1" s="80" t="inlineStr">
        <is>
          <t>Summit Ridge Construction LLC  —  Monthly P&amp;L (Actuals)</t>
        </is>
      </c>
    </row>
    <row r="2" ht="15.75" customHeight="1" s="57">
      <c r="A2" s="81" t="inlineStr">
        <is>
          <t>All figures in USD. Blue cells are inputs (from bookkeeping export); black cells are formulas.</t>
        </is>
      </c>
    </row>
    <row r="4" ht="15" customHeight="1" s="57">
      <c r="A4" s="82" t="inlineStr">
        <is>
          <t>P&amp;L Line</t>
        </is>
      </c>
      <c r="B4" s="83" t="inlineStr">
        <is>
          <t>Feb-26</t>
        </is>
      </c>
      <c r="C4" s="83" t="inlineStr">
        <is>
          <t>Mar-26</t>
        </is>
      </c>
      <c r="D4" s="83" t="inlineStr">
        <is>
          <t>Apr-26</t>
        </is>
      </c>
      <c r="E4" s="83" t="inlineStr">
        <is>
          <t>May-26</t>
        </is>
      </c>
      <c r="F4" s="83" t="inlineStr">
        <is>
          <t>Jun-26</t>
        </is>
      </c>
      <c r="G4" s="83" t="inlineStr">
        <is>
          <t>Jul-26</t>
        </is>
      </c>
    </row>
    <row r="5" ht="15" customHeight="1" s="57">
      <c r="A5" s="84" t="inlineStr">
        <is>
          <t>Revenue</t>
        </is>
      </c>
      <c r="B5" s="85" t="n">
        <v>172000</v>
      </c>
      <c r="C5" s="85" t="n">
        <v>195000</v>
      </c>
      <c r="D5" s="85" t="n">
        <v>208000</v>
      </c>
      <c r="E5" s="85" t="n">
        <v>231000</v>
      </c>
      <c r="F5" s="85" t="n">
        <v>199000</v>
      </c>
      <c r="G5" s="85" t="n">
        <v>218400</v>
      </c>
    </row>
    <row r="6" ht="15" customHeight="1" s="57">
      <c r="A6" s="86" t="inlineStr">
        <is>
          <t>Cost of Goods Sold</t>
        </is>
      </c>
      <c r="B6" s="87" t="n"/>
      <c r="C6" s="87" t="n"/>
      <c r="D6" s="87" t="n"/>
      <c r="E6" s="87" t="n"/>
      <c r="F6" s="87" t="n"/>
      <c r="G6" s="87" t="n"/>
    </row>
    <row r="7" ht="15" customHeight="1" s="57">
      <c r="A7" s="88" t="inlineStr">
        <is>
          <t>Materials</t>
        </is>
      </c>
      <c r="B7" s="89" t="n">
        <v>66000</v>
      </c>
      <c r="C7" s="89" t="n">
        <v>74000</v>
      </c>
      <c r="D7" s="89" t="n">
        <v>78000</v>
      </c>
      <c r="E7" s="89" t="n">
        <v>85000</v>
      </c>
      <c r="F7" s="89" t="n">
        <v>77000</v>
      </c>
      <c r="G7" s="89" t="n">
        <v>82000</v>
      </c>
    </row>
    <row r="8" ht="15" customHeight="1" s="57">
      <c r="A8" s="88" t="inlineStr">
        <is>
          <t>Subcontractors</t>
        </is>
      </c>
      <c r="B8" s="89" t="n">
        <v>39000</v>
      </c>
      <c r="C8" s="89" t="n">
        <v>43000</v>
      </c>
      <c r="D8" s="89" t="n">
        <v>46500</v>
      </c>
      <c r="E8" s="89" t="n">
        <v>52000</v>
      </c>
      <c r="F8" s="89" t="n">
        <v>44500</v>
      </c>
      <c r="G8" s="89" t="n">
        <v>49000</v>
      </c>
    </row>
    <row r="9" ht="15" customHeight="1" s="57">
      <c r="A9" s="88" t="inlineStr">
        <is>
          <t>Direct Labor</t>
        </is>
      </c>
      <c r="B9" s="89" t="n">
        <v>21400</v>
      </c>
      <c r="C9" s="89" t="n">
        <v>23800</v>
      </c>
      <c r="D9" s="89" t="n">
        <v>24900</v>
      </c>
      <c r="E9" s="89" t="n">
        <v>26800</v>
      </c>
      <c r="F9" s="89" t="n">
        <v>24000</v>
      </c>
      <c r="G9" s="89" t="n">
        <v>27300</v>
      </c>
    </row>
    <row r="10" ht="15" customHeight="1" s="57">
      <c r="A10" s="90" t="inlineStr">
        <is>
          <t>Total COGS</t>
        </is>
      </c>
      <c r="B10" s="91">
        <f>SUM(B7:B9)</f>
        <v/>
      </c>
      <c r="C10" s="91">
        <f>SUM(C7:C9)</f>
        <v/>
      </c>
      <c r="D10" s="91">
        <f>SUM(D7:D9)</f>
        <v/>
      </c>
      <c r="E10" s="91">
        <f>SUM(E7:E9)</f>
        <v/>
      </c>
      <c r="F10" s="91">
        <f>SUM(F7:F9)</f>
        <v/>
      </c>
      <c r="G10" s="91">
        <f>SUM(G7:G9)</f>
        <v/>
      </c>
    </row>
    <row r="11" ht="15" customHeight="1" s="57">
      <c r="A11" s="90" t="inlineStr">
        <is>
          <t>Gross Profit</t>
        </is>
      </c>
      <c r="B11" s="92">
        <f>B5-B10</f>
        <v/>
      </c>
      <c r="C11" s="92">
        <f>C5-C10</f>
        <v/>
      </c>
      <c r="D11" s="92">
        <f>D5-D10</f>
        <v/>
      </c>
      <c r="E11" s="92">
        <f>E5-E10</f>
        <v/>
      </c>
      <c r="F11" s="92">
        <f>F5-F10</f>
        <v/>
      </c>
      <c r="G11" s="92">
        <f>G5-G10</f>
        <v/>
      </c>
    </row>
    <row r="12" ht="15" customHeight="1" s="57">
      <c r="A12" s="93" t="inlineStr">
        <is>
          <t>Gross Margin %</t>
        </is>
      </c>
      <c r="B12" s="94">
        <f>B11/B5</f>
        <v/>
      </c>
      <c r="C12" s="94">
        <f>C11/C5</f>
        <v/>
      </c>
      <c r="D12" s="94">
        <f>D11/D5</f>
        <v/>
      </c>
      <c r="E12" s="94">
        <f>E11/E5</f>
        <v/>
      </c>
      <c r="F12" s="94">
        <f>F11/F5</f>
        <v/>
      </c>
      <c r="G12" s="94">
        <f>G11/G5</f>
        <v/>
      </c>
    </row>
    <row r="13" ht="15" customHeight="1" s="57">
      <c r="A13" s="86" t="inlineStr">
        <is>
          <t>Operating Expenses</t>
        </is>
      </c>
      <c r="B13" s="87" t="n"/>
      <c r="C13" s="87" t="n"/>
      <c r="D13" s="87" t="n"/>
      <c r="E13" s="87" t="n"/>
      <c r="F13" s="87" t="n"/>
      <c r="G13" s="87" t="n"/>
    </row>
    <row r="14" ht="15" customHeight="1" s="57">
      <c r="A14" s="88" t="inlineStr">
        <is>
          <t>Office Salaries</t>
        </is>
      </c>
      <c r="B14" s="89" t="n">
        <v>18000</v>
      </c>
      <c r="C14" s="89" t="n">
        <v>18000</v>
      </c>
      <c r="D14" s="89" t="n">
        <v>18000</v>
      </c>
      <c r="E14" s="89" t="n">
        <v>18000</v>
      </c>
      <c r="F14" s="89" t="n">
        <v>18000</v>
      </c>
      <c r="G14" s="89" t="n">
        <v>18000</v>
      </c>
    </row>
    <row r="15" ht="15" customHeight="1" s="57">
      <c r="A15" s="88" t="inlineStr">
        <is>
          <t>Rent &amp; Utilities</t>
        </is>
      </c>
      <c r="B15" s="89" t="n">
        <v>4200</v>
      </c>
      <c r="C15" s="89" t="n">
        <v>4200</v>
      </c>
      <c r="D15" s="89" t="n">
        <v>4200</v>
      </c>
      <c r="E15" s="89" t="n">
        <v>4200</v>
      </c>
      <c r="F15" s="89" t="n">
        <v>4200</v>
      </c>
      <c r="G15" s="89" t="n">
        <v>4200</v>
      </c>
    </row>
    <row r="16" ht="15" customHeight="1" s="57">
      <c r="A16" s="88" t="inlineStr">
        <is>
          <t>Insurance</t>
        </is>
      </c>
      <c r="B16" s="89" t="n">
        <v>3100</v>
      </c>
      <c r="C16" s="89" t="n">
        <v>3100</v>
      </c>
      <c r="D16" s="89" t="n">
        <v>3100</v>
      </c>
      <c r="E16" s="89" t="n">
        <v>3100</v>
      </c>
      <c r="F16" s="89" t="n">
        <v>3100</v>
      </c>
      <c r="G16" s="89" t="n">
        <v>3100</v>
      </c>
    </row>
    <row r="17" ht="15" customHeight="1" s="57">
      <c r="A17" s="88" t="inlineStr">
        <is>
          <t>Vehicle &amp; Equipment</t>
        </is>
      </c>
      <c r="B17" s="89" t="n">
        <v>3800</v>
      </c>
      <c r="C17" s="89" t="n">
        <v>3800</v>
      </c>
      <c r="D17" s="89" t="n">
        <v>3800</v>
      </c>
      <c r="E17" s="89" t="n">
        <v>3800</v>
      </c>
      <c r="F17" s="89" t="n">
        <v>3800</v>
      </c>
      <c r="G17" s="89" t="n">
        <v>3800</v>
      </c>
    </row>
    <row r="18" ht="15" customHeight="1" s="57">
      <c r="A18" s="88" t="inlineStr">
        <is>
          <t>Marketing</t>
        </is>
      </c>
      <c r="B18" s="89" t="n">
        <v>1500</v>
      </c>
      <c r="C18" s="89" t="n">
        <v>1500</v>
      </c>
      <c r="D18" s="89" t="n">
        <v>1500</v>
      </c>
      <c r="E18" s="89" t="n">
        <v>1500</v>
      </c>
      <c r="F18" s="89" t="n">
        <v>1500</v>
      </c>
      <c r="G18" s="89" t="n">
        <v>1500</v>
      </c>
    </row>
    <row r="19" ht="15" customHeight="1" s="57">
      <c r="A19" s="88" t="inlineStr">
        <is>
          <t>Admin &amp; Other</t>
        </is>
      </c>
      <c r="B19" s="89" t="n">
        <v>3900</v>
      </c>
      <c r="C19" s="89" t="n">
        <v>3900</v>
      </c>
      <c r="D19" s="89" t="n">
        <v>3900</v>
      </c>
      <c r="E19" s="89" t="n">
        <v>3900</v>
      </c>
      <c r="F19" s="89" t="n">
        <v>3900</v>
      </c>
      <c r="G19" s="89" t="n">
        <v>3900</v>
      </c>
    </row>
    <row r="20" ht="15" customHeight="1" s="57">
      <c r="A20" s="90" t="inlineStr">
        <is>
          <t>Total OpEx</t>
        </is>
      </c>
      <c r="B20" s="91">
        <f>SUM(B14:B19)</f>
        <v/>
      </c>
      <c r="C20" s="91">
        <f>SUM(C14:C19)</f>
        <v/>
      </c>
      <c r="D20" s="91">
        <f>SUM(D14:D19)</f>
        <v/>
      </c>
      <c r="E20" s="91">
        <f>SUM(E14:E19)</f>
        <v/>
      </c>
      <c r="F20" s="91">
        <f>SUM(F14:F19)</f>
        <v/>
      </c>
      <c r="G20" s="91">
        <f>SUM(G14:G19)</f>
        <v/>
      </c>
    </row>
    <row r="21" ht="15" customHeight="1" s="57">
      <c r="A21" s="84" t="inlineStr">
        <is>
          <t>Operating Income</t>
        </is>
      </c>
      <c r="B21" s="95">
        <f>B11-B20</f>
        <v/>
      </c>
      <c r="C21" s="95">
        <f>C11-C20</f>
        <v/>
      </c>
      <c r="D21" s="95">
        <f>D11-D20</f>
        <v/>
      </c>
      <c r="E21" s="95">
        <f>E11-E20</f>
        <v/>
      </c>
      <c r="F21" s="95">
        <f>F11-F20</f>
        <v/>
      </c>
      <c r="G21" s="95">
        <f>G11-G20</f>
        <v/>
      </c>
    </row>
    <row r="22" ht="15" customHeight="1" s="57">
      <c r="A22" s="93" t="inlineStr">
        <is>
          <t>Net Margin %</t>
        </is>
      </c>
      <c r="B22" s="94">
        <f>B21/B5</f>
        <v/>
      </c>
      <c r="C22" s="94">
        <f>C21/C5</f>
        <v/>
      </c>
      <c r="D22" s="94">
        <f>D21/D5</f>
        <v/>
      </c>
      <c r="E22" s="94">
        <f>E21/E5</f>
        <v/>
      </c>
      <c r="F22" s="94">
        <f>F21/F5</f>
        <v/>
      </c>
      <c r="G22" s="94">
        <f>G21/G5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O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56" min="1" max="1"/>
    <col width="10" customWidth="1" style="56" min="2" max="14"/>
  </cols>
  <sheetData>
    <row r="1" ht="25.5" customHeight="1" s="57">
      <c r="A1" s="80" t="inlineStr">
        <is>
          <t>Summit Ridge Construction LLC  —  13-Week Rolling Cash Flow Forecast</t>
        </is>
      </c>
    </row>
    <row r="2" ht="15" customHeight="1" s="57">
      <c r="A2" s="81" t="inlineStr">
        <is>
          <t>Weeks beginning Monday. Blue = forecast inputs. Operating minimum cash target: $25,000 (amber if below, red if under $10k).</t>
        </is>
      </c>
    </row>
    <row r="4" ht="15" customHeight="1" s="57">
      <c r="A4" s="96" t="inlineStr">
        <is>
          <t>Week beginning</t>
        </is>
      </c>
      <c r="B4" s="97" t="inlineStr">
        <is>
          <t>Aug 25</t>
        </is>
      </c>
      <c r="C4" s="97" t="inlineStr">
        <is>
          <t>Sep 1</t>
        </is>
      </c>
      <c r="D4" s="97" t="inlineStr">
        <is>
          <t>Sep 8</t>
        </is>
      </c>
      <c r="E4" s="97" t="inlineStr">
        <is>
          <t>Sep 15</t>
        </is>
      </c>
      <c r="F4" s="97" t="inlineStr">
        <is>
          <t>Sep 22</t>
        </is>
      </c>
      <c r="G4" s="97" t="inlineStr">
        <is>
          <t>Sep 29</t>
        </is>
      </c>
      <c r="H4" s="97" t="inlineStr">
        <is>
          <t>Oct 6</t>
        </is>
      </c>
      <c r="I4" s="97" t="inlineStr">
        <is>
          <t>Oct 13</t>
        </is>
      </c>
      <c r="J4" s="97" t="inlineStr">
        <is>
          <t>Oct 20</t>
        </is>
      </c>
      <c r="K4" s="97" t="inlineStr">
        <is>
          <t>Oct 27</t>
        </is>
      </c>
      <c r="L4" s="97" t="inlineStr">
        <is>
          <t>Nov 3</t>
        </is>
      </c>
      <c r="M4" s="97" t="inlineStr">
        <is>
          <t>Nov 10</t>
        </is>
      </c>
      <c r="N4" s="97" t="inlineStr">
        <is>
          <t>Nov 17</t>
        </is>
      </c>
    </row>
    <row r="5" ht="15" customHeight="1" s="57">
      <c r="A5" s="98" t="inlineStr">
        <is>
          <t>Beginning Cash</t>
        </is>
      </c>
      <c r="B5" s="99" t="n">
        <v>142000</v>
      </c>
      <c r="C5" s="100">
        <f>B19</f>
        <v/>
      </c>
      <c r="D5" s="100">
        <f>C19</f>
        <v/>
      </c>
      <c r="E5" s="100">
        <f>D19</f>
        <v/>
      </c>
      <c r="F5" s="100">
        <f>E19</f>
        <v/>
      </c>
      <c r="G5" s="100">
        <f>F19</f>
        <v/>
      </c>
      <c r="H5" s="100">
        <f>G19</f>
        <v/>
      </c>
      <c r="I5" s="100">
        <f>H19</f>
        <v/>
      </c>
      <c r="J5" s="100">
        <f>I19</f>
        <v/>
      </c>
      <c r="K5" s="100">
        <f>J19</f>
        <v/>
      </c>
      <c r="L5" s="100">
        <f>K19</f>
        <v/>
      </c>
      <c r="M5" s="100">
        <f>L19</f>
        <v/>
      </c>
      <c r="N5" s="100">
        <f>M19</f>
        <v/>
      </c>
    </row>
    <row r="6" ht="15" customHeight="1" s="57">
      <c r="A6" s="101" t="inlineStr">
        <is>
          <t>Cash Inflows (collections)</t>
        </is>
      </c>
      <c r="B6" s="87" t="n"/>
      <c r="C6" s="87" t="n"/>
      <c r="D6" s="87" t="n"/>
      <c r="E6" s="87" t="n"/>
      <c r="F6" s="87" t="n"/>
      <c r="G6" s="87" t="n"/>
      <c r="H6" s="87" t="n"/>
      <c r="I6" s="87" t="n"/>
      <c r="J6" s="87" t="n"/>
      <c r="K6" s="87" t="n"/>
      <c r="L6" s="87" t="n"/>
      <c r="M6" s="87" t="n"/>
      <c r="N6" s="87" t="n"/>
    </row>
    <row r="7" ht="15" customHeight="1" s="57">
      <c r="A7" s="102" t="inlineStr">
        <is>
          <t xml:space="preserve">  Customer Collections</t>
        </is>
      </c>
      <c r="B7" s="103" t="n">
        <v>52000</v>
      </c>
      <c r="C7" s="103" t="n">
        <v>24000</v>
      </c>
      <c r="D7" s="103" t="n">
        <v>18000</v>
      </c>
      <c r="E7" s="103" t="n">
        <v>28000</v>
      </c>
      <c r="F7" s="103" t="n">
        <v>31000</v>
      </c>
      <c r="G7" s="103" t="n">
        <v>46000</v>
      </c>
      <c r="H7" s="103" t="n">
        <v>38000</v>
      </c>
      <c r="I7" s="103" t="n">
        <v>118000</v>
      </c>
      <c r="J7" s="103" t="n">
        <v>34000</v>
      </c>
      <c r="K7" s="103" t="n">
        <v>41000</v>
      </c>
      <c r="L7" s="103" t="n">
        <v>37000</v>
      </c>
      <c r="M7" s="103" t="n">
        <v>44000</v>
      </c>
      <c r="N7" s="103" t="n">
        <v>39000</v>
      </c>
    </row>
    <row r="8" ht="15" customHeight="1" s="57">
      <c r="A8" s="98" t="inlineStr">
        <is>
          <t>Total Inflows</t>
        </is>
      </c>
      <c r="B8" s="104">
        <f>B7</f>
        <v/>
      </c>
      <c r="C8" s="104">
        <f>C7</f>
        <v/>
      </c>
      <c r="D8" s="104">
        <f>D7</f>
        <v/>
      </c>
      <c r="E8" s="104">
        <f>E7</f>
        <v/>
      </c>
      <c r="F8" s="104">
        <f>F7</f>
        <v/>
      </c>
      <c r="G8" s="104">
        <f>G7</f>
        <v/>
      </c>
      <c r="H8" s="104">
        <f>H7</f>
        <v/>
      </c>
      <c r="I8" s="104">
        <f>I7</f>
        <v/>
      </c>
      <c r="J8" s="104">
        <f>J7</f>
        <v/>
      </c>
      <c r="K8" s="104">
        <f>K7</f>
        <v/>
      </c>
      <c r="L8" s="104">
        <f>L7</f>
        <v/>
      </c>
      <c r="M8" s="104">
        <f>M7</f>
        <v/>
      </c>
      <c r="N8" s="104">
        <f>N7</f>
        <v/>
      </c>
    </row>
    <row r="9" ht="15" customHeight="1" s="57">
      <c r="A9" s="101" t="inlineStr">
        <is>
          <t>Cash Outflows</t>
        </is>
      </c>
      <c r="B9" s="87" t="n"/>
      <c r="C9" s="87" t="n"/>
      <c r="D9" s="87" t="n"/>
      <c r="E9" s="87" t="n"/>
      <c r="F9" s="87" t="n"/>
      <c r="G9" s="87" t="n"/>
      <c r="H9" s="87" t="n"/>
      <c r="I9" s="87" t="n"/>
      <c r="J9" s="87" t="n"/>
      <c r="K9" s="87" t="n"/>
      <c r="L9" s="87" t="n"/>
      <c r="M9" s="87" t="n"/>
      <c r="N9" s="87" t="n"/>
    </row>
    <row r="10" ht="15" customHeight="1" s="57">
      <c r="A10" s="102" t="inlineStr">
        <is>
          <t xml:space="preserve">  Payroll</t>
        </is>
      </c>
      <c r="B10" s="103" t="n">
        <v>23000</v>
      </c>
      <c r="C10" s="103" t="n">
        <v>0</v>
      </c>
      <c r="D10" s="103" t="n">
        <v>23000</v>
      </c>
      <c r="E10" s="103" t="n">
        <v>0</v>
      </c>
      <c r="F10" s="103" t="n">
        <v>23000</v>
      </c>
      <c r="G10" s="103" t="n">
        <v>0</v>
      </c>
      <c r="H10" s="103" t="n">
        <v>23000</v>
      </c>
      <c r="I10" s="103" t="n">
        <v>0</v>
      </c>
      <c r="J10" s="103" t="n">
        <v>23000</v>
      </c>
      <c r="K10" s="103" t="n">
        <v>0</v>
      </c>
      <c r="L10" s="103" t="n">
        <v>23000</v>
      </c>
      <c r="M10" s="103" t="n">
        <v>0</v>
      </c>
      <c r="N10" s="103" t="n">
        <v>23000</v>
      </c>
    </row>
    <row r="11" ht="15" customHeight="1" s="57">
      <c r="A11" s="102" t="inlineStr">
        <is>
          <t xml:space="preserve">  Materials / Suppliers</t>
        </is>
      </c>
      <c r="B11" s="103" t="n">
        <v>14000</v>
      </c>
      <c r="C11" s="103" t="n">
        <v>16000</v>
      </c>
      <c r="D11" s="103" t="n">
        <v>52000</v>
      </c>
      <c r="E11" s="103" t="n">
        <v>9000</v>
      </c>
      <c r="F11" s="103" t="n">
        <v>11000</v>
      </c>
      <c r="G11" s="103" t="n">
        <v>10000</v>
      </c>
      <c r="H11" s="103" t="n">
        <v>12000</v>
      </c>
      <c r="I11" s="103" t="n">
        <v>14000</v>
      </c>
      <c r="J11" s="103" t="n">
        <v>12000</v>
      </c>
      <c r="K11" s="103" t="n">
        <v>13000</v>
      </c>
      <c r="L11" s="103" t="n">
        <v>12000</v>
      </c>
      <c r="M11" s="103" t="n">
        <v>14000</v>
      </c>
      <c r="N11" s="103" t="n">
        <v>12000</v>
      </c>
    </row>
    <row r="12" ht="15" customHeight="1" s="57">
      <c r="A12" s="102" t="inlineStr">
        <is>
          <t xml:space="preserve">  Subcontractors</t>
        </is>
      </c>
      <c r="B12" s="103" t="n">
        <v>9000</v>
      </c>
      <c r="C12" s="103" t="n">
        <v>11000</v>
      </c>
      <c r="D12" s="103" t="n">
        <v>8000</v>
      </c>
      <c r="E12" s="103" t="n">
        <v>12000</v>
      </c>
      <c r="F12" s="103" t="n">
        <v>9000</v>
      </c>
      <c r="G12" s="103" t="n">
        <v>8000</v>
      </c>
      <c r="H12" s="103" t="n">
        <v>9000</v>
      </c>
      <c r="I12" s="103" t="n">
        <v>11000</v>
      </c>
      <c r="J12" s="103" t="n">
        <v>9000</v>
      </c>
      <c r="K12" s="103" t="n">
        <v>10000</v>
      </c>
      <c r="L12" s="103" t="n">
        <v>9000</v>
      </c>
      <c r="M12" s="103" t="n">
        <v>11000</v>
      </c>
      <c r="N12" s="103" t="n">
        <v>10000</v>
      </c>
    </row>
    <row r="13" ht="15" customHeight="1" s="57">
      <c r="A13" s="102" t="inlineStr">
        <is>
          <t xml:space="preserve">  Overhead (rent, ins, admin)</t>
        </is>
      </c>
      <c r="B13" s="103" t="n">
        <v>6500</v>
      </c>
      <c r="C13" s="103" t="n">
        <v>6500</v>
      </c>
      <c r="D13" s="103" t="n">
        <v>6500</v>
      </c>
      <c r="E13" s="103" t="n">
        <v>6500</v>
      </c>
      <c r="F13" s="103" t="n">
        <v>6500</v>
      </c>
      <c r="G13" s="103" t="n">
        <v>6500</v>
      </c>
      <c r="H13" s="103" t="n">
        <v>6500</v>
      </c>
      <c r="I13" s="103" t="n">
        <v>6500</v>
      </c>
      <c r="J13" s="103" t="n">
        <v>6500</v>
      </c>
      <c r="K13" s="103" t="n">
        <v>6500</v>
      </c>
      <c r="L13" s="103" t="n">
        <v>6500</v>
      </c>
      <c r="M13" s="103" t="n">
        <v>6500</v>
      </c>
      <c r="N13" s="103" t="n">
        <v>6500</v>
      </c>
    </row>
    <row r="14" ht="15" customHeight="1" s="57">
      <c r="A14" s="102" t="inlineStr">
        <is>
          <t xml:space="preserve">  Loan / Equipment</t>
        </is>
      </c>
      <c r="B14" s="103" t="n">
        <v>4200</v>
      </c>
      <c r="C14" s="103" t="n">
        <v>0</v>
      </c>
      <c r="D14" s="103" t="n">
        <v>0</v>
      </c>
      <c r="E14" s="103" t="n">
        <v>0</v>
      </c>
      <c r="F14" s="103" t="n">
        <v>0</v>
      </c>
      <c r="G14" s="103" t="n">
        <v>4200</v>
      </c>
      <c r="H14" s="103" t="n">
        <v>0</v>
      </c>
      <c r="I14" s="103" t="n">
        <v>0</v>
      </c>
      <c r="J14" s="103" t="n">
        <v>0</v>
      </c>
      <c r="K14" s="103" t="n">
        <v>4200</v>
      </c>
      <c r="L14" s="103" t="n">
        <v>0</v>
      </c>
      <c r="M14" s="103" t="n">
        <v>0</v>
      </c>
      <c r="N14" s="103" t="n">
        <v>0</v>
      </c>
    </row>
    <row r="15" ht="15" customHeight="1" s="57">
      <c r="A15" s="102" t="inlineStr">
        <is>
          <t xml:space="preserve">  Owner Draw</t>
        </is>
      </c>
      <c r="B15" s="103" t="n">
        <v>6000</v>
      </c>
      <c r="C15" s="103" t="n">
        <v>6000</v>
      </c>
      <c r="D15" s="103" t="n">
        <v>0</v>
      </c>
      <c r="E15" s="103" t="n">
        <v>6000</v>
      </c>
      <c r="F15" s="103" t="n">
        <v>0</v>
      </c>
      <c r="G15" s="103" t="n">
        <v>6000</v>
      </c>
      <c r="H15" s="103" t="n">
        <v>0</v>
      </c>
      <c r="I15" s="103" t="n">
        <v>6000</v>
      </c>
      <c r="J15" s="103" t="n">
        <v>0</v>
      </c>
      <c r="K15" s="103" t="n">
        <v>6000</v>
      </c>
      <c r="L15" s="103" t="n">
        <v>0</v>
      </c>
      <c r="M15" s="103" t="n">
        <v>6000</v>
      </c>
      <c r="N15" s="103" t="n">
        <v>0</v>
      </c>
    </row>
    <row r="16" ht="15" customHeight="1" s="57">
      <c r="A16" s="102" t="inlineStr">
        <is>
          <t xml:space="preserve">  Estimated Taxes</t>
        </is>
      </c>
      <c r="B16" s="103" t="n">
        <v>0</v>
      </c>
      <c r="C16" s="103" t="n">
        <v>0</v>
      </c>
      <c r="D16" s="103" t="n">
        <v>0</v>
      </c>
      <c r="E16" s="103" t="n">
        <v>18000</v>
      </c>
      <c r="F16" s="103" t="n">
        <v>0</v>
      </c>
      <c r="G16" s="103" t="n">
        <v>0</v>
      </c>
      <c r="H16" s="103" t="n">
        <v>0</v>
      </c>
      <c r="I16" s="103" t="n">
        <v>0</v>
      </c>
      <c r="J16" s="103" t="n">
        <v>0</v>
      </c>
      <c r="K16" s="103" t="n">
        <v>0</v>
      </c>
      <c r="L16" s="103" t="n">
        <v>0</v>
      </c>
      <c r="M16" s="103" t="n">
        <v>0</v>
      </c>
      <c r="N16" s="103" t="n">
        <v>0</v>
      </c>
    </row>
    <row r="17" ht="15" customHeight="1" s="57">
      <c r="A17" s="98" t="inlineStr">
        <is>
          <t>Total Outflows</t>
        </is>
      </c>
      <c r="B17" s="104">
        <f>SUM(B10:B16)</f>
        <v/>
      </c>
      <c r="C17" s="104">
        <f>SUM(C10:C16)</f>
        <v/>
      </c>
      <c r="D17" s="104">
        <f>SUM(D10:D16)</f>
        <v/>
      </c>
      <c r="E17" s="104">
        <f>SUM(E10:E16)</f>
        <v/>
      </c>
      <c r="F17" s="104">
        <f>SUM(F10:F16)</f>
        <v/>
      </c>
      <c r="G17" s="104">
        <f>SUM(G10:G16)</f>
        <v/>
      </c>
      <c r="H17" s="104">
        <f>SUM(H10:H16)</f>
        <v/>
      </c>
      <c r="I17" s="104">
        <f>SUM(I10:I16)</f>
        <v/>
      </c>
      <c r="J17" s="104">
        <f>SUM(J10:J16)</f>
        <v/>
      </c>
      <c r="K17" s="104">
        <f>SUM(K10:K16)</f>
        <v/>
      </c>
      <c r="L17" s="104">
        <f>SUM(L10:L16)</f>
        <v/>
      </c>
      <c r="M17" s="104">
        <f>SUM(M10:M16)</f>
        <v/>
      </c>
      <c r="N17" s="104">
        <f>SUM(N10:N16)</f>
        <v/>
      </c>
    </row>
    <row r="18" ht="15" customHeight="1" s="57">
      <c r="A18" s="98" t="inlineStr">
        <is>
          <t>Net Cash Flow</t>
        </is>
      </c>
      <c r="B18" s="104">
        <f>B8-B17</f>
        <v/>
      </c>
      <c r="C18" s="104">
        <f>C8-C17</f>
        <v/>
      </c>
      <c r="D18" s="104">
        <f>D8-D17</f>
        <v/>
      </c>
      <c r="E18" s="104">
        <f>E8-E17</f>
        <v/>
      </c>
      <c r="F18" s="104">
        <f>F8-F17</f>
        <v/>
      </c>
      <c r="G18" s="104">
        <f>G8-G17</f>
        <v/>
      </c>
      <c r="H18" s="104">
        <f>H8-H17</f>
        <v/>
      </c>
      <c r="I18" s="104">
        <f>I8-I17</f>
        <v/>
      </c>
      <c r="J18" s="104">
        <f>J8-J17</f>
        <v/>
      </c>
      <c r="K18" s="104">
        <f>K8-K17</f>
        <v/>
      </c>
      <c r="L18" s="104">
        <f>L8-L17</f>
        <v/>
      </c>
      <c r="M18" s="104">
        <f>M8-M17</f>
        <v/>
      </c>
      <c r="N18" s="104">
        <f>N8-N17</f>
        <v/>
      </c>
    </row>
    <row r="19" ht="15" customHeight="1" s="57">
      <c r="A19" s="98" t="inlineStr">
        <is>
          <t>Ending Cash</t>
        </is>
      </c>
      <c r="B19" s="105">
        <f>B5+B18</f>
        <v/>
      </c>
      <c r="C19" s="105">
        <f>C5+C18</f>
        <v/>
      </c>
      <c r="D19" s="105">
        <f>D5+D18</f>
        <v/>
      </c>
      <c r="E19" s="105">
        <f>E5+E18</f>
        <v/>
      </c>
      <c r="F19" s="105">
        <f>F5+F18</f>
        <v/>
      </c>
      <c r="G19" s="105">
        <f>G5+G18</f>
        <v/>
      </c>
      <c r="H19" s="105">
        <f>H5+H18</f>
        <v/>
      </c>
      <c r="I19" s="105">
        <f>I5+I18</f>
        <v/>
      </c>
      <c r="J19" s="105">
        <f>J5+J18</f>
        <v/>
      </c>
      <c r="K19" s="105">
        <f>K5+K18</f>
        <v/>
      </c>
      <c r="L19" s="105">
        <f>L5+L18</f>
        <v/>
      </c>
      <c r="M19" s="105">
        <f>M5+M18</f>
        <v/>
      </c>
      <c r="N19" s="105">
        <f>N5+N18</f>
        <v/>
      </c>
    </row>
    <row r="20" ht="15" customHeight="1" s="57">
      <c r="A20" s="101" t="inlineStr">
        <is>
          <t>Below $25k minimum?</t>
        </is>
      </c>
      <c r="B20" s="106">
        <f>IF(B19&lt;25000,"⚠ YES","OK")</f>
        <v/>
      </c>
      <c r="C20" s="106">
        <f>IF(C19&lt;25000,"⚠ YES","OK")</f>
        <v/>
      </c>
      <c r="D20" s="106">
        <f>IF(D19&lt;25000,"⚠ YES","OK")</f>
        <v/>
      </c>
      <c r="E20" s="106">
        <f>IF(E19&lt;25000,"⚠ YES","OK")</f>
        <v/>
      </c>
      <c r="F20" s="106">
        <f>IF(F19&lt;25000,"⚠ YES","OK")</f>
        <v/>
      </c>
      <c r="G20" s="106">
        <f>IF(G19&lt;25000,"⚠ YES","OK")</f>
        <v/>
      </c>
      <c r="H20" s="106">
        <f>IF(H19&lt;25000,"⚠ YES","OK")</f>
        <v/>
      </c>
      <c r="I20" s="106">
        <f>IF(I19&lt;25000,"⚠ YES","OK")</f>
        <v/>
      </c>
      <c r="J20" s="106">
        <f>IF(J19&lt;25000,"⚠ YES","OK")</f>
        <v/>
      </c>
      <c r="K20" s="106">
        <f>IF(K19&lt;25000,"⚠ YES","OK")</f>
        <v/>
      </c>
      <c r="L20" s="106">
        <f>IF(L19&lt;25000,"⚠ YES","OK")</f>
        <v/>
      </c>
      <c r="M20" s="106">
        <f>IF(M19&lt;25000,"⚠ YES","OK")</f>
        <v/>
      </c>
      <c r="N20" s="106">
        <f>IF(N19&lt;25000,"⚠ YES","OK")</f>
        <v/>
      </c>
    </row>
    <row r="23" ht="15" customHeight="1" s="57">
      <c r="A23" s="107" t="inlineStr">
        <is>
          <t>(chart data)</t>
        </is>
      </c>
      <c r="B23" s="108" t="inlineStr">
        <is>
          <t>Aug 25</t>
        </is>
      </c>
      <c r="C23" s="108" t="inlineStr">
        <is>
          <t>Sep 1</t>
        </is>
      </c>
      <c r="D23" s="108" t="inlineStr">
        <is>
          <t>Sep 8</t>
        </is>
      </c>
      <c r="E23" s="108" t="inlineStr">
        <is>
          <t>Sep 15</t>
        </is>
      </c>
      <c r="F23" s="108" t="inlineStr">
        <is>
          <t>Sep 22</t>
        </is>
      </c>
      <c r="G23" s="108" t="inlineStr">
        <is>
          <t>Sep 29</t>
        </is>
      </c>
      <c r="H23" s="108" t="inlineStr">
        <is>
          <t>Oct 6</t>
        </is>
      </c>
      <c r="I23" s="108" t="inlineStr">
        <is>
          <t>Oct 13</t>
        </is>
      </c>
      <c r="J23" s="108" t="inlineStr">
        <is>
          <t>Oct 20</t>
        </is>
      </c>
      <c r="K23" s="108" t="inlineStr">
        <is>
          <t>Oct 27</t>
        </is>
      </c>
      <c r="L23" s="108" t="inlineStr">
        <is>
          <t>Nov 3</t>
        </is>
      </c>
      <c r="M23" s="108" t="inlineStr">
        <is>
          <t>Nov 10</t>
        </is>
      </c>
      <c r="N23" s="108" t="inlineStr">
        <is>
          <t>Nov 17</t>
        </is>
      </c>
    </row>
    <row r="24" ht="15" customHeight="1" s="57">
      <c r="A24" s="109" t="inlineStr">
        <is>
          <t>Ending Cash</t>
        </is>
      </c>
      <c r="B24" s="72">
        <f>B19</f>
        <v/>
      </c>
      <c r="C24" s="72">
        <f>C19</f>
        <v/>
      </c>
      <c r="D24" s="72">
        <f>D19</f>
        <v/>
      </c>
      <c r="E24" s="72">
        <f>E19</f>
        <v/>
      </c>
      <c r="F24" s="72">
        <f>F19</f>
        <v/>
      </c>
      <c r="G24" s="72">
        <f>G19</f>
        <v/>
      </c>
      <c r="H24" s="72">
        <f>H19</f>
        <v/>
      </c>
      <c r="I24" s="72">
        <f>I19</f>
        <v/>
      </c>
      <c r="J24" s="72">
        <f>J19</f>
        <v/>
      </c>
      <c r="K24" s="72">
        <f>K19</f>
        <v/>
      </c>
      <c r="L24" s="72">
        <f>L19</f>
        <v/>
      </c>
      <c r="M24" s="72">
        <f>M19</f>
        <v/>
      </c>
      <c r="N24" s="72">
        <f>N19</f>
        <v/>
      </c>
    </row>
    <row r="25" ht="15" customHeight="1" s="57">
      <c r="A25" s="109" t="inlineStr">
        <is>
          <t>Min Cash Target</t>
        </is>
      </c>
      <c r="B25" s="72" t="n">
        <v>25000</v>
      </c>
      <c r="C25" s="72" t="n">
        <v>25000</v>
      </c>
      <c r="D25" s="72" t="n">
        <v>25000</v>
      </c>
      <c r="E25" s="72" t="n">
        <v>25000</v>
      </c>
      <c r="F25" s="72" t="n">
        <v>25000</v>
      </c>
      <c r="G25" s="72" t="n">
        <v>25000</v>
      </c>
      <c r="H25" s="72" t="n">
        <v>25000</v>
      </c>
      <c r="I25" s="72" t="n">
        <v>25000</v>
      </c>
      <c r="J25" s="72" t="n">
        <v>25000</v>
      </c>
      <c r="K25" s="72" t="n">
        <v>25000</v>
      </c>
      <c r="L25" s="72" t="n">
        <v>25000</v>
      </c>
      <c r="M25" s="72" t="n">
        <v>25000</v>
      </c>
      <c r="N25" s="72" t="n">
        <v>25000</v>
      </c>
    </row>
  </sheetData>
  <mergeCells count="2">
    <mergeCell ref="A1:O1"/>
    <mergeCell ref="A2:O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B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56" min="1" max="1"/>
    <col width="95" customWidth="1" style="56" min="2" max="2"/>
  </cols>
  <sheetData>
    <row r="1" ht="25.5" customHeight="1" s="57">
      <c r="A1" s="80" t="inlineStr">
        <is>
          <t>Summit Ridge Construction LLC — Monthly Commentary (July 2026)</t>
        </is>
      </c>
    </row>
    <row r="3" ht="15" customHeight="1" s="57">
      <c r="B3" s="110" t="inlineStr">
        <is>
          <t>The headline</t>
        </is>
      </c>
    </row>
    <row r="4" ht="69.75" customHeight="1" s="57">
      <c r="B4" s="111" t="inlineStr">
        <is>
          <t>You had another profitable month — $25,600 of net income on $218,400 of revenue (11.7% net margin), right in line with your six-month trend. Profit is not the problem. Timing is. Our 13-week forecast shows cash dropping to about $1,100 the week of October 6 — well below the $25,000 you want in the account to run comfortably. This is fixable, and you have roughly six weeks of runway to act.</t>
        </is>
      </c>
    </row>
    <row r="6" ht="15" customHeight="1" s="57">
      <c r="B6" s="112" t="inlineStr">
        <is>
          <t>Why cash gets tight (even though you're profitable)</t>
        </is>
      </c>
    </row>
    <row r="7" ht="139.5" customHeight="1" s="57">
      <c r="B7" s="111" t="inlineStr">
        <is>
          <t>Three things land close together:
  1.  The Hillcrest final draw ($96,000) slipped. It was expected the week of Sep 8 but is now tracking to Oct 13 — five weeks later.
  2.  Q3 estimated taxes ($18,000) are due Sep 15.
  3.  The Maple Grove material order ($52,000) hits Sep 8.
Individually, none of these is a problem. Stacked in the same four weeks — while your big receivable is late — they drain the account faster than collections refill it. Cash stays under your $25k minimum from the week of Sep 15 through Oct 6.</t>
        </is>
      </c>
    </row>
    <row r="9" ht="15" customHeight="1" s="57">
      <c r="B9" s="113" t="inlineStr">
        <is>
          <t>What we'd do about it — three options</t>
        </is>
      </c>
    </row>
    <row r="10" ht="139.5" customHeight="1" s="57">
      <c r="B10" s="111" t="inlineStr">
        <is>
          <t xml:space="preserve">  A.  Pull Hillcrest forward. Offer the client a 1% early-payment discount ($960) to release the $96,000 draw in September instead of October. Even a partial payment resets the whole picture. This is the highest-leverage move.
  B.  Push the big outflows past the tax date. Ask your Maple Grove supplier for net-45 terms on the $52,000 order, and pause owner draws for three weeks in September (frees ~$12,000). Together these keep the low point above $25k without touching the bank.
  C.  Put a safety net in place now. Open a $50,000 line of credit while your numbers look strong — banks approve credit when you don't need it, not when you do. You may never draw on it, but it turns a scramble into a non-event.</t>
        </is>
      </c>
    </row>
    <row r="12" ht="15" customHeight="1" s="57">
      <c r="B12" s="110" t="inlineStr">
        <is>
          <t>One thing to watch</t>
        </is>
      </c>
    </row>
    <row r="13" ht="55.5" customHeight="1" s="57">
      <c r="B13" s="111" t="inlineStr">
        <is>
          <t>Days Sales Outstanding crept to 48 days, up from 41. Your final draws are being paid slowly — that's the same pattern that created this squeeze. Tightening billing the day a milestone completes (rather than at month-end) would pull cash in about a week sooner across every project and prevent the next crunch before it starts.</t>
        </is>
      </c>
    </row>
    <row r="15" ht="15" customHeight="1" s="57">
      <c r="B15" s="110" t="inlineStr">
        <is>
          <t>Bottom line</t>
        </is>
      </c>
    </row>
    <row r="16" ht="42" customHeight="1" s="57">
      <c r="B16" s="111" t="inlineStr">
        <is>
          <t>Strong operating month, one avoidable cash pinch on the horizon. Take option A plus a small piece of B and you sail through October above your minimum. Let's lock the plan on this month's strategy call — 45 minutes, and we'll pick the two moves that fit Hillcrest's client best.</t>
        </is>
      </c>
    </row>
    <row r="19" ht="15" customHeight="1" s="57">
      <c r="B19" s="81" t="inlineStr">
        <is>
          <t>Prepared by Patino Davila Advisory  ·  Questions before our call? patinodavilaadvisory@gmail.com / 973-856-0624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2026-08-23T06:40:41Z</dcterms:created>
  <dcterms:modified xsi:type="dcterms:W3CDTF">2026-08-31T00:20:44Z</dcterms:modified>
  <cp:revision>1</cp:revision>
</cp:coreProperties>
</file>